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<sst xmlns="http://schemas.openxmlformats.org/spreadsheetml/2006/main" count="47" uniqueCount="35">
  <si>
    <t>Year 1</t>
  </si>
  <si>
    <t>Year 2</t>
  </si>
  <si>
    <t>Year 3</t>
  </si>
  <si>
    <t>Year 4</t>
  </si>
  <si>
    <t>Year 5</t>
  </si>
  <si>
    <t>Category</t>
  </si>
  <si>
    <t>Pessimistic</t>
  </si>
  <si>
    <t>Neutral</t>
  </si>
  <si>
    <t>Optimistic</t>
  </si>
  <si>
    <t>Revenue</t>
  </si>
  <si>
    <t>Number of Athletes</t>
  </si>
  <si>
    <t>Avg. Contract</t>
  </si>
  <si>
    <t>Transaction Fees</t>
  </si>
  <si>
    <t>Subscription Revenue</t>
  </si>
  <si>
    <t>Partnerships</t>
  </si>
  <si>
    <t>Other Revenue Streams</t>
  </si>
  <si>
    <t>Total Revenue</t>
  </si>
  <si>
    <t>Costs</t>
  </si>
  <si>
    <t>App Development &amp; Maintenance</t>
  </si>
  <si>
    <t>Marketing &amp; Customer Acquisition</t>
  </si>
  <si>
    <t>Operational Costs</t>
  </si>
  <si>
    <t>Technology &amp; Infrastructure</t>
  </si>
  <si>
    <t>Legal &amp; Compliance</t>
  </si>
  <si>
    <t>Total Costs</t>
  </si>
  <si>
    <t>Profitability</t>
  </si>
  <si>
    <t>Net Profit</t>
  </si>
  <si>
    <t>Cash Flow</t>
  </si>
  <si>
    <t>Cash Inflows</t>
  </si>
  <si>
    <t>Cash Outflows</t>
  </si>
  <si>
    <t>Burn Rate</t>
  </si>
  <si>
    <t>Runway (months)</t>
  </si>
  <si>
    <t>Investment Plans</t>
  </si>
  <si>
    <t>Initial Capital Raised</t>
  </si>
  <si>
    <t>Projected Investment Rounds</t>
  </si>
  <si>
    <t>Expected Valuation Growth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</si>
</sst>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6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/>
    <font>
      <color rgb="FF000000"/>
      <name val="Arial"/>
    </font>
    <font>
      <b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EDEDED"/>
        <bgColor rgb="FFEDEDED"/>
      </patternFill>
    </fill>
    <fill>
      <patternFill patternType="solid">
        <fgColor rgb="FFD9E1F2"/>
        <bgColor rgb="FFD9E1F2"/>
      </patternFill>
    </fill>
    <fill>
      <patternFill patternType="solid">
        <fgColor rgb="FFFDFDA1"/>
        <bgColor rgb="FFFDFDA1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readingOrder="0" shrinkToFit="0" vertical="bottom" wrapText="0"/>
    </xf>
    <xf borderId="2" fillId="0" fontId="3" numFmtId="0" xfId="0" applyBorder="1" applyFont="1"/>
    <xf borderId="3" fillId="0" fontId="3" numFmtId="0" xfId="0" applyBorder="1" applyFont="1"/>
    <xf borderId="0" fillId="3" fontId="2" numFmtId="0" xfId="0" applyAlignment="1" applyFill="1" applyFont="1">
      <alignment horizontal="center" readingOrder="0" shrinkToFit="0" vertical="bottom" wrapText="0"/>
    </xf>
    <xf borderId="4" fillId="3" fontId="2" numFmtId="0" xfId="0" applyAlignment="1" applyBorder="1" applyFont="1">
      <alignment horizontal="center" readingOrder="0" shrinkToFit="0" vertical="bottom" wrapText="0"/>
    </xf>
    <xf borderId="5" fillId="3" fontId="2" numFmtId="0" xfId="0" applyAlignment="1" applyBorder="1" applyFont="1">
      <alignment horizontal="center" readingOrder="0" shrinkToFit="0" vertical="bottom" wrapText="0"/>
    </xf>
    <xf borderId="6" fillId="3" fontId="2" numFmtId="0" xfId="0" applyAlignment="1" applyBorder="1" applyFont="1">
      <alignment horizontal="center" readingOrder="0" shrinkToFit="0" vertical="bottom" wrapText="0"/>
    </xf>
    <xf borderId="7" fillId="3" fontId="2" numFmtId="0" xfId="0" applyAlignment="1" applyBorder="1" applyFont="1">
      <alignment horizontal="center" readingOrder="0" shrinkToFit="0" vertical="bottom" wrapText="0"/>
    </xf>
    <xf borderId="8" fillId="3" fontId="2" numFmtId="0" xfId="0" applyAlignment="1" applyBorder="1" applyFont="1">
      <alignment horizontal="center" readingOrder="0" shrinkToFit="0" vertical="bottom" wrapText="0"/>
    </xf>
    <xf borderId="0" fillId="4" fontId="2" numFmtId="0" xfId="0" applyAlignment="1" applyFill="1" applyFont="1">
      <alignment horizontal="left" readingOrder="0" shrinkToFit="0" vertical="bottom" wrapText="0"/>
    </xf>
    <xf borderId="7" fillId="4" fontId="4" numFmtId="164" xfId="0" applyAlignment="1" applyBorder="1" applyFont="1" applyNumberFormat="1">
      <alignment shrinkToFit="0" vertical="bottom" wrapText="0"/>
    </xf>
    <xf borderId="0" fillId="4" fontId="4" numFmtId="165" xfId="0" applyAlignment="1" applyFont="1" applyNumberFormat="1">
      <alignment shrinkToFit="0" vertical="bottom" wrapText="0"/>
    </xf>
    <xf borderId="8" fillId="4" fontId="4" numFmtId="164" xfId="0" applyAlignment="1" applyBorder="1" applyFont="1" applyNumberFormat="1">
      <alignment shrinkToFit="0" vertical="bottom" wrapText="0"/>
    </xf>
    <xf borderId="7" fillId="4" fontId="4" numFmtId="0" xfId="0" applyAlignment="1" applyBorder="1" applyFont="1">
      <alignment shrinkToFit="0" vertical="bottom" wrapText="0"/>
    </xf>
    <xf borderId="0" fillId="4" fontId="4" numFmtId="0" xfId="0" applyAlignment="1" applyFont="1">
      <alignment shrinkToFit="0" vertical="bottom" wrapText="0"/>
    </xf>
    <xf borderId="8" fillId="4" fontId="4" numFmtId="0" xfId="0" applyAlignment="1" applyBorder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7" fillId="0" fontId="4" numFmtId="3" xfId="0" applyAlignment="1" applyBorder="1" applyFont="1" applyNumberFormat="1">
      <alignment horizontal="right" readingOrder="0" shrinkToFit="0" vertical="bottom" wrapText="0"/>
    </xf>
    <xf borderId="0" fillId="0" fontId="1" numFmtId="3" xfId="0" applyAlignment="1" applyFont="1" applyNumberFormat="1">
      <alignment horizontal="right" readingOrder="0" shrinkToFit="0" vertical="bottom" wrapText="0"/>
    </xf>
    <xf borderId="8" fillId="0" fontId="4" numFmtId="3" xfId="0" applyAlignment="1" applyBorder="1" applyFont="1" applyNumberFormat="1">
      <alignment horizontal="right" readingOrder="0" shrinkToFit="0" vertical="bottom" wrapText="0"/>
    </xf>
    <xf borderId="7" fillId="0" fontId="4" numFmtId="3" xfId="0" applyAlignment="1" applyBorder="1" applyFont="1" applyNumberFormat="1">
      <alignment readingOrder="0" shrinkToFit="0" vertical="bottom" wrapText="0"/>
    </xf>
    <xf borderId="0" fillId="0" fontId="4" numFmtId="3" xfId="0" applyAlignment="1" applyFont="1" applyNumberFormat="1">
      <alignment readingOrder="0" shrinkToFit="0" vertical="bottom" wrapText="0"/>
    </xf>
    <xf borderId="8" fillId="0" fontId="4" numFmtId="3" xfId="0" applyAlignment="1" applyBorder="1" applyFont="1" applyNumberFormat="1">
      <alignment readingOrder="0" shrinkToFit="0" vertical="bottom" wrapText="0"/>
    </xf>
    <xf borderId="7" fillId="0" fontId="4" numFmtId="3" xfId="0" applyAlignment="1" applyBorder="1" applyFont="1" applyNumberFormat="1">
      <alignment shrinkToFit="0" vertical="bottom" wrapText="0"/>
    </xf>
    <xf borderId="0" fillId="0" fontId="4" numFmtId="3" xfId="0" applyAlignment="1" applyFont="1" applyNumberFormat="1">
      <alignment shrinkToFit="0" vertical="bottom" wrapText="0"/>
    </xf>
    <xf borderId="8" fillId="0" fontId="4" numFmtId="3" xfId="0" applyAlignment="1" applyBorder="1" applyFont="1" applyNumberFormat="1">
      <alignment shrinkToFit="0" vertical="bottom" wrapText="0"/>
    </xf>
    <xf borderId="7" fillId="0" fontId="1" numFmtId="164" xfId="0" applyAlignment="1" applyBorder="1" applyFont="1" applyNumberFormat="1">
      <alignment horizontal="righ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8" fillId="0" fontId="1" numFmtId="164" xfId="0" applyAlignment="1" applyBorder="1" applyFont="1" applyNumberFormat="1">
      <alignment horizontal="right" readingOrder="0" shrinkToFit="0" vertical="bottom" wrapText="0"/>
    </xf>
    <xf borderId="7" fillId="0" fontId="4" numFmtId="164" xfId="0" applyAlignment="1" applyBorder="1" applyFont="1" applyNumberFormat="1">
      <alignment readingOrder="0" shrinkToFit="0" vertical="bottom" wrapText="0"/>
    </xf>
    <xf borderId="0" fillId="0" fontId="4" numFmtId="164" xfId="0" applyAlignment="1" applyFont="1" applyNumberFormat="1">
      <alignment readingOrder="0" shrinkToFit="0" vertical="bottom" wrapText="0"/>
    </xf>
    <xf borderId="8" fillId="0" fontId="4" numFmtId="164" xfId="0" applyAlignment="1" applyBorder="1" applyFont="1" applyNumberFormat="1">
      <alignment readingOrder="0" shrinkToFit="0" vertical="bottom" wrapText="0"/>
    </xf>
    <xf borderId="7" fillId="0" fontId="4" numFmtId="164" xfId="0" applyAlignment="1" applyBorder="1" applyFont="1" applyNumberFormat="1">
      <alignment shrinkToFit="0" vertical="bottom" wrapText="0"/>
    </xf>
    <xf borderId="0" fillId="0" fontId="4" numFmtId="164" xfId="0" applyAlignment="1" applyFont="1" applyNumberFormat="1">
      <alignment shrinkToFit="0" vertical="bottom" wrapText="0"/>
    </xf>
    <xf borderId="8" fillId="0" fontId="4" numFmtId="164" xfId="0" applyAlignment="1" applyBorder="1" applyFont="1" applyNumberFormat="1">
      <alignment shrinkToFit="0" vertical="bottom" wrapText="0"/>
    </xf>
    <xf borderId="7" fillId="0" fontId="4" numFmtId="164" xfId="0" applyAlignment="1" applyBorder="1" applyFont="1" applyNumberFormat="1">
      <alignment horizontal="right" readingOrder="0" shrinkToFit="0" vertical="bottom" wrapText="0"/>
    </xf>
    <xf borderId="0" fillId="0" fontId="4" numFmtId="164" xfId="0" applyAlignment="1" applyFont="1" applyNumberFormat="1">
      <alignment horizontal="right" readingOrder="0" shrinkToFit="0" vertical="bottom" wrapText="0"/>
    </xf>
    <xf borderId="8" fillId="0" fontId="4" numFmtId="164" xfId="0" applyAlignment="1" applyBorder="1" applyFont="1" applyNumberFormat="1">
      <alignment horizontal="right"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10" fillId="0" fontId="4" numFmtId="164" xfId="0" applyAlignment="1" applyBorder="1" applyFont="1" applyNumberFormat="1">
      <alignment horizontal="right" shrinkToFit="0" vertical="bottom" wrapText="0"/>
    </xf>
    <xf borderId="9" fillId="0" fontId="4" numFmtId="164" xfId="0" applyAlignment="1" applyBorder="1" applyFont="1" applyNumberFormat="1">
      <alignment horizontal="right" shrinkToFit="0" vertical="bottom" wrapText="0"/>
    </xf>
    <xf borderId="11" fillId="0" fontId="4" numFmtId="164" xfId="0" applyAlignment="1" applyBorder="1" applyFont="1" applyNumberFormat="1">
      <alignment horizontal="right" shrinkToFit="0" vertical="bottom" wrapText="0"/>
    </xf>
    <xf borderId="10" fillId="0" fontId="4" numFmtId="164" xfId="0" applyAlignment="1" applyBorder="1" applyFont="1" applyNumberFormat="1">
      <alignment readingOrder="0" shrinkToFit="0" vertical="bottom" wrapText="0"/>
    </xf>
    <xf borderId="9" fillId="0" fontId="4" numFmtId="164" xfId="0" applyAlignment="1" applyBorder="1" applyFont="1" applyNumberFormat="1">
      <alignment shrinkToFit="0" vertical="bottom" wrapText="0"/>
    </xf>
    <xf borderId="11" fillId="0" fontId="4" numFmtId="164" xfId="0" applyAlignment="1" applyBorder="1" applyFont="1" applyNumberFormat="1">
      <alignment shrinkToFit="0" vertical="bottom" wrapText="0"/>
    </xf>
    <xf borderId="10" fillId="0" fontId="4" numFmtId="164" xfId="0" applyAlignment="1" applyBorder="1" applyFont="1" applyNumberFormat="1">
      <alignment shrinkToFit="0" vertical="bottom" wrapText="0"/>
    </xf>
    <xf borderId="0" fillId="5" fontId="2" numFmtId="0" xfId="0" applyAlignment="1" applyFill="1" applyFont="1">
      <alignment readingOrder="0" shrinkToFit="0" vertical="bottom" wrapText="0"/>
    </xf>
    <xf borderId="7" fillId="5" fontId="5" numFmtId="164" xfId="0" applyAlignment="1" applyBorder="1" applyFont="1" applyNumberFormat="1">
      <alignment horizontal="right" readingOrder="0" shrinkToFit="0" vertical="bottom" wrapText="0"/>
    </xf>
    <xf borderId="0" fillId="5" fontId="5" numFmtId="164" xfId="0" applyAlignment="1" applyFont="1" applyNumberFormat="1">
      <alignment horizontal="right" readingOrder="0" shrinkToFit="0" vertical="bottom" wrapText="0"/>
    </xf>
    <xf borderId="8" fillId="5" fontId="5" numFmtId="164" xfId="0" applyAlignment="1" applyBorder="1" applyFont="1" applyNumberFormat="1">
      <alignment horizontal="right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4" fontId="2" numFmtId="0" xfId="0" applyAlignment="1" applyFont="1">
      <alignment readingOrder="0" shrinkToFit="0" vertical="bottom" wrapText="0"/>
    </xf>
    <xf borderId="0" fillId="4" fontId="4" numFmtId="164" xfId="0" applyAlignment="1" applyFont="1" applyNumberFormat="1">
      <alignment shrinkToFit="0" vertical="bottom" wrapText="0"/>
    </xf>
    <xf borderId="9" fillId="0" fontId="4" numFmtId="164" xfId="0" applyAlignment="1" applyBorder="1" applyFont="1" applyNumberFormat="1">
      <alignment readingOrder="0" shrinkToFit="0" vertical="bottom" wrapText="0"/>
    </xf>
    <xf borderId="11" fillId="0" fontId="4" numFmtId="164" xfId="0" applyAlignment="1" applyBorder="1" applyFont="1" applyNumberFormat="1">
      <alignment readingOrder="0" shrinkToFit="0" vertical="bottom" wrapText="0"/>
    </xf>
    <xf borderId="7" fillId="5" fontId="5" numFmtId="164" xfId="0" applyAlignment="1" applyBorder="1" applyFont="1" applyNumberFormat="1">
      <alignment shrinkToFit="0" vertical="bottom" wrapText="0"/>
    </xf>
    <xf borderId="0" fillId="5" fontId="5" numFmtId="164" xfId="0" applyAlignment="1" applyFont="1" applyNumberFormat="1">
      <alignment shrinkToFit="0" vertical="bottom" wrapText="0"/>
    </xf>
    <xf borderId="8" fillId="5" fontId="5" numFmtId="164" xfId="0" applyAlignment="1" applyBorder="1" applyFont="1" applyNumberFormat="1">
      <alignment shrinkToFit="0" vertical="bottom" wrapText="0"/>
    </xf>
    <xf borderId="7" fillId="0" fontId="4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shrinkToFit="0" vertical="bottom" wrapText="0"/>
    </xf>
    <xf borderId="10" fillId="0" fontId="4" numFmtId="0" xfId="0" applyAlignment="1" applyBorder="1" applyFont="1">
      <alignment shrinkToFit="0" vertical="bottom" wrapText="0"/>
    </xf>
    <xf borderId="9" fillId="0" fontId="4" numFmtId="0" xfId="0" applyAlignment="1" applyBorder="1" applyFont="1">
      <alignment shrinkToFit="0" vertical="bottom" wrapText="0"/>
    </xf>
    <xf borderId="11" fillId="0" fontId="4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</cols>
  <sheetData>
    <row r="1">
      <c r="A1" s="1"/>
      <c r="B1" s="2" t="s">
        <v>0</v>
      </c>
      <c r="C1" s="3"/>
      <c r="D1" s="4"/>
      <c r="E1" s="2" t="s">
        <v>1</v>
      </c>
      <c r="F1" s="3"/>
      <c r="G1" s="4"/>
      <c r="H1" s="2" t="s">
        <v>2</v>
      </c>
      <c r="I1" s="3"/>
      <c r="J1" s="4"/>
      <c r="K1" s="2" t="s">
        <v>3</v>
      </c>
      <c r="L1" s="3"/>
      <c r="M1" s="4"/>
      <c r="N1" s="2" t="s">
        <v>4</v>
      </c>
      <c r="O1" s="3"/>
      <c r="P1" s="4"/>
    </row>
    <row r="2">
      <c r="A2" s="5" t="s">
        <v>5</v>
      </c>
      <c r="B2" s="6" t="s">
        <v>6</v>
      </c>
      <c r="C2" s="7" t="s">
        <v>7</v>
      </c>
      <c r="D2" s="8" t="s">
        <v>8</v>
      </c>
      <c r="E2" s="9" t="s">
        <v>6</v>
      </c>
      <c r="F2" s="5" t="s">
        <v>7</v>
      </c>
      <c r="G2" s="10" t="s">
        <v>8</v>
      </c>
      <c r="H2" s="9" t="s">
        <v>6</v>
      </c>
      <c r="I2" s="5" t="s">
        <v>7</v>
      </c>
      <c r="J2" s="10" t="s">
        <v>8</v>
      </c>
      <c r="K2" s="9" t="s">
        <v>6</v>
      </c>
      <c r="L2" s="5" t="s">
        <v>7</v>
      </c>
      <c r="M2" s="10" t="s">
        <v>8</v>
      </c>
      <c r="N2" s="9" t="s">
        <v>6</v>
      </c>
      <c r="O2" s="5" t="s">
        <v>7</v>
      </c>
      <c r="P2" s="10" t="s">
        <v>8</v>
      </c>
    </row>
    <row r="3">
      <c r="A3" s="11" t="s">
        <v>9</v>
      </c>
      <c r="B3" s="12"/>
      <c r="C3" s="13"/>
      <c r="D3" s="14"/>
      <c r="E3" s="15"/>
      <c r="F3" s="16"/>
      <c r="G3" s="17"/>
      <c r="H3" s="15"/>
      <c r="I3" s="16"/>
      <c r="J3" s="17"/>
      <c r="K3" s="15"/>
      <c r="L3" s="16"/>
      <c r="M3" s="17"/>
      <c r="N3" s="15"/>
      <c r="O3" s="16"/>
      <c r="P3" s="17"/>
    </row>
    <row r="4">
      <c r="A4" s="18" t="s">
        <v>10</v>
      </c>
      <c r="B4" s="19">
        <v>750.0</v>
      </c>
      <c r="C4" s="20">
        <v>1200.0</v>
      </c>
      <c r="D4" s="21">
        <v>1500.0</v>
      </c>
      <c r="E4" s="22">
        <v>1500.0</v>
      </c>
      <c r="F4" s="23">
        <v>2000.0</v>
      </c>
      <c r="G4" s="24">
        <v>3750.0</v>
      </c>
      <c r="H4" s="25"/>
      <c r="I4" s="26"/>
      <c r="J4" s="27"/>
      <c r="K4" s="25"/>
      <c r="L4" s="26"/>
      <c r="M4" s="27"/>
      <c r="N4" s="25"/>
      <c r="O4" s="26"/>
      <c r="P4" s="27"/>
    </row>
    <row r="5">
      <c r="A5" s="18" t="s">
        <v>11</v>
      </c>
      <c r="B5" s="28">
        <v>3000.0</v>
      </c>
      <c r="C5" s="29">
        <v>5000.0</v>
      </c>
      <c r="D5" s="30">
        <v>7000.0</v>
      </c>
      <c r="E5" s="31">
        <v>3000.0</v>
      </c>
      <c r="F5" s="32">
        <v>5000.0</v>
      </c>
      <c r="G5" s="33">
        <v>7000.0</v>
      </c>
      <c r="H5" s="34"/>
      <c r="I5" s="35"/>
      <c r="J5" s="36"/>
      <c r="K5" s="34"/>
      <c r="L5" s="35"/>
      <c r="M5" s="36"/>
      <c r="N5" s="34"/>
      <c r="O5" s="35"/>
      <c r="P5" s="36"/>
    </row>
    <row r="6">
      <c r="A6" s="18" t="s">
        <v>12</v>
      </c>
      <c r="B6" s="37">
        <f t="shared" ref="B6:P6" si="1">B4*B5*0.05</f>
        <v>112500</v>
      </c>
      <c r="C6" s="38">
        <f t="shared" si="1"/>
        <v>300000</v>
      </c>
      <c r="D6" s="39">
        <f t="shared" si="1"/>
        <v>525000</v>
      </c>
      <c r="E6" s="37">
        <f t="shared" si="1"/>
        <v>225000</v>
      </c>
      <c r="F6" s="38">
        <f t="shared" si="1"/>
        <v>500000</v>
      </c>
      <c r="G6" s="39">
        <f t="shared" si="1"/>
        <v>1312500</v>
      </c>
      <c r="H6" s="37">
        <f t="shared" si="1"/>
        <v>0</v>
      </c>
      <c r="I6" s="38">
        <f t="shared" si="1"/>
        <v>0</v>
      </c>
      <c r="J6" s="39">
        <f t="shared" si="1"/>
        <v>0</v>
      </c>
      <c r="K6" s="37">
        <f t="shared" si="1"/>
        <v>0</v>
      </c>
      <c r="L6" s="38">
        <f t="shared" si="1"/>
        <v>0</v>
      </c>
      <c r="M6" s="39">
        <f t="shared" si="1"/>
        <v>0</v>
      </c>
      <c r="N6" s="37">
        <f t="shared" si="1"/>
        <v>0</v>
      </c>
      <c r="O6" s="38">
        <f t="shared" si="1"/>
        <v>0</v>
      </c>
      <c r="P6" s="39">
        <f t="shared" si="1"/>
        <v>0</v>
      </c>
    </row>
    <row r="7">
      <c r="A7" s="18" t="s">
        <v>13</v>
      </c>
      <c r="B7" s="28">
        <f t="shared" ref="B7:P7" si="2">B4*200</f>
        <v>150000</v>
      </c>
      <c r="C7" s="29">
        <f t="shared" si="2"/>
        <v>240000</v>
      </c>
      <c r="D7" s="30">
        <f t="shared" si="2"/>
        <v>300000</v>
      </c>
      <c r="E7" s="28">
        <f t="shared" si="2"/>
        <v>300000</v>
      </c>
      <c r="F7" s="29">
        <f t="shared" si="2"/>
        <v>400000</v>
      </c>
      <c r="G7" s="30">
        <f t="shared" si="2"/>
        <v>750000</v>
      </c>
      <c r="H7" s="28">
        <f t="shared" si="2"/>
        <v>0</v>
      </c>
      <c r="I7" s="29">
        <f t="shared" si="2"/>
        <v>0</v>
      </c>
      <c r="J7" s="30">
        <f t="shared" si="2"/>
        <v>0</v>
      </c>
      <c r="K7" s="28">
        <f t="shared" si="2"/>
        <v>0</v>
      </c>
      <c r="L7" s="29">
        <f t="shared" si="2"/>
        <v>0</v>
      </c>
      <c r="M7" s="30">
        <f t="shared" si="2"/>
        <v>0</v>
      </c>
      <c r="N7" s="28">
        <f t="shared" si="2"/>
        <v>0</v>
      </c>
      <c r="O7" s="29">
        <f t="shared" si="2"/>
        <v>0</v>
      </c>
      <c r="P7" s="30">
        <f t="shared" si="2"/>
        <v>0</v>
      </c>
    </row>
    <row r="8">
      <c r="A8" s="18" t="s">
        <v>14</v>
      </c>
      <c r="B8" s="37">
        <v>0.0</v>
      </c>
      <c r="C8" s="38">
        <v>20000.0</v>
      </c>
      <c r="D8" s="39">
        <v>50000.0</v>
      </c>
      <c r="E8" s="31"/>
      <c r="F8" s="35"/>
      <c r="G8" s="36"/>
      <c r="H8" s="34"/>
      <c r="I8" s="35"/>
      <c r="J8" s="36"/>
      <c r="K8" s="34"/>
      <c r="L8" s="35"/>
      <c r="M8" s="36"/>
      <c r="N8" s="34"/>
      <c r="O8" s="35"/>
      <c r="P8" s="36"/>
    </row>
    <row r="9">
      <c r="A9" s="40" t="s">
        <v>15</v>
      </c>
      <c r="B9" s="41"/>
      <c r="C9" s="42"/>
      <c r="D9" s="43"/>
      <c r="E9" s="44"/>
      <c r="F9" s="45"/>
      <c r="G9" s="46"/>
      <c r="H9" s="47"/>
      <c r="I9" s="45"/>
      <c r="J9" s="46"/>
      <c r="K9" s="47"/>
      <c r="L9" s="45"/>
      <c r="M9" s="46"/>
      <c r="N9" s="47"/>
      <c r="O9" s="45"/>
      <c r="P9" s="46"/>
    </row>
    <row r="10">
      <c r="A10" s="48" t="s">
        <v>16</v>
      </c>
      <c r="B10" s="49">
        <f t="shared" ref="B10:P10" si="3">sum(B4:B9)</f>
        <v>266250</v>
      </c>
      <c r="C10" s="50">
        <f t="shared" si="3"/>
        <v>566200</v>
      </c>
      <c r="D10" s="51">
        <f t="shared" si="3"/>
        <v>883500</v>
      </c>
      <c r="E10" s="49">
        <f t="shared" si="3"/>
        <v>529500</v>
      </c>
      <c r="F10" s="50">
        <f t="shared" si="3"/>
        <v>907000</v>
      </c>
      <c r="G10" s="51">
        <f t="shared" si="3"/>
        <v>2073250</v>
      </c>
      <c r="H10" s="49">
        <f t="shared" si="3"/>
        <v>0</v>
      </c>
      <c r="I10" s="50">
        <f t="shared" si="3"/>
        <v>0</v>
      </c>
      <c r="J10" s="51">
        <f t="shared" si="3"/>
        <v>0</v>
      </c>
      <c r="K10" s="49">
        <f t="shared" si="3"/>
        <v>0</v>
      </c>
      <c r="L10" s="50">
        <f t="shared" si="3"/>
        <v>0</v>
      </c>
      <c r="M10" s="51">
        <f t="shared" si="3"/>
        <v>0</v>
      </c>
      <c r="N10" s="49">
        <f t="shared" si="3"/>
        <v>0</v>
      </c>
      <c r="O10" s="50">
        <f t="shared" si="3"/>
        <v>0</v>
      </c>
      <c r="P10" s="51">
        <f t="shared" si="3"/>
        <v>0</v>
      </c>
    </row>
    <row r="11">
      <c r="A11" s="52"/>
      <c r="B11" s="34"/>
      <c r="C11" s="35"/>
      <c r="D11" s="36"/>
      <c r="E11" s="34"/>
      <c r="F11" s="35"/>
      <c r="G11" s="36"/>
      <c r="H11" s="34"/>
      <c r="I11" s="35"/>
      <c r="J11" s="36"/>
      <c r="K11" s="34"/>
      <c r="L11" s="35"/>
      <c r="M11" s="36"/>
      <c r="N11" s="34"/>
      <c r="O11" s="35"/>
      <c r="P11" s="36"/>
    </row>
    <row r="12">
      <c r="A12" s="53" t="s">
        <v>17</v>
      </c>
      <c r="B12" s="12"/>
      <c r="C12" s="54"/>
      <c r="D12" s="14"/>
      <c r="E12" s="12"/>
      <c r="F12" s="54"/>
      <c r="G12" s="14"/>
      <c r="H12" s="12"/>
      <c r="I12" s="54"/>
      <c r="J12" s="14"/>
      <c r="K12" s="12"/>
      <c r="L12" s="54"/>
      <c r="M12" s="14"/>
      <c r="N12" s="12"/>
      <c r="O12" s="54"/>
      <c r="P12" s="14"/>
    </row>
    <row r="13">
      <c r="A13" s="18" t="s">
        <v>18</v>
      </c>
      <c r="B13" s="31">
        <v>700000.0</v>
      </c>
      <c r="C13" s="32">
        <v>505000.0</v>
      </c>
      <c r="D13" s="33">
        <v>350000.0</v>
      </c>
      <c r="E13" s="31"/>
      <c r="F13" s="35"/>
      <c r="G13" s="36"/>
      <c r="H13" s="34"/>
      <c r="I13" s="35"/>
      <c r="J13" s="36"/>
      <c r="K13" s="34"/>
      <c r="L13" s="35"/>
      <c r="M13" s="36"/>
      <c r="N13" s="34"/>
      <c r="O13" s="35"/>
      <c r="P13" s="36"/>
    </row>
    <row r="14">
      <c r="A14" s="18" t="s">
        <v>19</v>
      </c>
      <c r="B14" s="31">
        <v>50000.0</v>
      </c>
      <c r="C14" s="32">
        <v>40000.0</v>
      </c>
      <c r="D14" s="33">
        <v>30000.0</v>
      </c>
      <c r="E14" s="31"/>
      <c r="F14" s="35"/>
      <c r="G14" s="36"/>
      <c r="H14" s="34"/>
      <c r="I14" s="35"/>
      <c r="J14" s="36"/>
      <c r="K14" s="34"/>
      <c r="L14" s="35"/>
      <c r="M14" s="36"/>
      <c r="N14" s="34"/>
      <c r="O14" s="35"/>
      <c r="P14" s="36"/>
    </row>
    <row r="15">
      <c r="A15" s="18" t="s">
        <v>20</v>
      </c>
      <c r="B15" s="31">
        <v>70000.0</v>
      </c>
      <c r="C15" s="32">
        <v>60000.0</v>
      </c>
      <c r="D15" s="33">
        <v>50000.0</v>
      </c>
      <c r="E15" s="31"/>
      <c r="F15" s="35"/>
      <c r="G15" s="36"/>
      <c r="H15" s="34"/>
      <c r="I15" s="35"/>
      <c r="J15" s="36"/>
      <c r="K15" s="34"/>
      <c r="L15" s="35"/>
      <c r="M15" s="36"/>
      <c r="N15" s="34"/>
      <c r="O15" s="35"/>
      <c r="P15" s="36"/>
    </row>
    <row r="16">
      <c r="A16" s="18" t="s">
        <v>21</v>
      </c>
      <c r="B16" s="31">
        <v>90000.0</v>
      </c>
      <c r="C16" s="32">
        <v>75000.0</v>
      </c>
      <c r="D16" s="33">
        <v>50000.0</v>
      </c>
      <c r="E16" s="31"/>
      <c r="F16" s="35"/>
      <c r="G16" s="36"/>
      <c r="H16" s="34"/>
      <c r="I16" s="35"/>
      <c r="J16" s="36"/>
      <c r="K16" s="34"/>
      <c r="L16" s="35"/>
      <c r="M16" s="36"/>
      <c r="N16" s="34"/>
      <c r="O16" s="35"/>
      <c r="P16" s="36"/>
    </row>
    <row r="17">
      <c r="A17" s="40" t="s">
        <v>22</v>
      </c>
      <c r="B17" s="44">
        <v>100000.0</v>
      </c>
      <c r="C17" s="55">
        <v>60000.0</v>
      </c>
      <c r="D17" s="56">
        <v>50000.0</v>
      </c>
      <c r="E17" s="44"/>
      <c r="F17" s="45"/>
      <c r="G17" s="46"/>
      <c r="H17" s="47"/>
      <c r="I17" s="45"/>
      <c r="J17" s="46"/>
      <c r="K17" s="47"/>
      <c r="L17" s="45"/>
      <c r="M17" s="46"/>
      <c r="N17" s="47"/>
      <c r="O17" s="45"/>
      <c r="P17" s="46"/>
    </row>
    <row r="18">
      <c r="A18" s="48" t="s">
        <v>23</v>
      </c>
      <c r="B18" s="57">
        <f t="shared" ref="B18:P18" si="4">sum(B13:B17)</f>
        <v>1010000</v>
      </c>
      <c r="C18" s="58">
        <f t="shared" si="4"/>
        <v>740000</v>
      </c>
      <c r="D18" s="59">
        <f t="shared" si="4"/>
        <v>530000</v>
      </c>
      <c r="E18" s="57">
        <f t="shared" si="4"/>
        <v>0</v>
      </c>
      <c r="F18" s="58">
        <f t="shared" si="4"/>
        <v>0</v>
      </c>
      <c r="G18" s="59">
        <f t="shared" si="4"/>
        <v>0</v>
      </c>
      <c r="H18" s="57">
        <f t="shared" si="4"/>
        <v>0</v>
      </c>
      <c r="I18" s="58">
        <f t="shared" si="4"/>
        <v>0</v>
      </c>
      <c r="J18" s="59">
        <f t="shared" si="4"/>
        <v>0</v>
      </c>
      <c r="K18" s="57">
        <f t="shared" si="4"/>
        <v>0</v>
      </c>
      <c r="L18" s="58">
        <f t="shared" si="4"/>
        <v>0</v>
      </c>
      <c r="M18" s="59">
        <f t="shared" si="4"/>
        <v>0</v>
      </c>
      <c r="N18" s="57">
        <f t="shared" si="4"/>
        <v>0</v>
      </c>
      <c r="O18" s="58">
        <f t="shared" si="4"/>
        <v>0</v>
      </c>
      <c r="P18" s="59">
        <f t="shared" si="4"/>
        <v>0</v>
      </c>
    </row>
    <row r="19">
      <c r="A19" s="52"/>
      <c r="B19" s="60"/>
      <c r="C19" s="52"/>
      <c r="D19" s="61"/>
      <c r="E19" s="60"/>
      <c r="F19" s="52"/>
      <c r="G19" s="61"/>
      <c r="H19" s="60"/>
      <c r="I19" s="52"/>
      <c r="J19" s="61"/>
      <c r="K19" s="60"/>
      <c r="L19" s="52"/>
      <c r="M19" s="61"/>
      <c r="N19" s="60"/>
      <c r="O19" s="52"/>
      <c r="P19" s="61"/>
    </row>
    <row r="20">
      <c r="A20" s="53" t="s">
        <v>24</v>
      </c>
      <c r="B20" s="15"/>
      <c r="C20" s="16"/>
      <c r="D20" s="17"/>
      <c r="E20" s="15"/>
      <c r="F20" s="16"/>
      <c r="G20" s="17"/>
      <c r="H20" s="15"/>
      <c r="I20" s="16"/>
      <c r="J20" s="17"/>
      <c r="K20" s="15"/>
      <c r="L20" s="16"/>
      <c r="M20" s="17"/>
      <c r="N20" s="15"/>
      <c r="O20" s="16"/>
      <c r="P20" s="17"/>
    </row>
    <row r="21">
      <c r="A21" s="48" t="s">
        <v>25</v>
      </c>
      <c r="B21" s="57">
        <f t="shared" ref="B21:P21" si="5">B10-B18</f>
        <v>-743750</v>
      </c>
      <c r="C21" s="58">
        <f t="shared" si="5"/>
        <v>-173800</v>
      </c>
      <c r="D21" s="59">
        <f t="shared" si="5"/>
        <v>353500</v>
      </c>
      <c r="E21" s="57">
        <f t="shared" si="5"/>
        <v>529500</v>
      </c>
      <c r="F21" s="58">
        <f t="shared" si="5"/>
        <v>907000</v>
      </c>
      <c r="G21" s="59">
        <f t="shared" si="5"/>
        <v>2073250</v>
      </c>
      <c r="H21" s="57">
        <f t="shared" si="5"/>
        <v>0</v>
      </c>
      <c r="I21" s="58">
        <f t="shared" si="5"/>
        <v>0</v>
      </c>
      <c r="J21" s="59">
        <f t="shared" si="5"/>
        <v>0</v>
      </c>
      <c r="K21" s="57">
        <f t="shared" si="5"/>
        <v>0</v>
      </c>
      <c r="L21" s="58">
        <f t="shared" si="5"/>
        <v>0</v>
      </c>
      <c r="M21" s="59">
        <f t="shared" si="5"/>
        <v>0</v>
      </c>
      <c r="N21" s="57">
        <f t="shared" si="5"/>
        <v>0</v>
      </c>
      <c r="O21" s="58">
        <f t="shared" si="5"/>
        <v>0</v>
      </c>
      <c r="P21" s="59">
        <f t="shared" si="5"/>
        <v>0</v>
      </c>
    </row>
    <row r="22">
      <c r="A22" s="52"/>
      <c r="B22" s="60"/>
      <c r="C22" s="52"/>
      <c r="D22" s="61"/>
      <c r="E22" s="60"/>
      <c r="F22" s="52"/>
      <c r="G22" s="61"/>
      <c r="H22" s="60"/>
      <c r="I22" s="52"/>
      <c r="J22" s="61"/>
      <c r="K22" s="60"/>
      <c r="L22" s="52"/>
      <c r="M22" s="61"/>
      <c r="N22" s="60"/>
      <c r="O22" s="52"/>
      <c r="P22" s="61"/>
    </row>
    <row r="23">
      <c r="A23" s="53" t="s">
        <v>26</v>
      </c>
      <c r="B23" s="15"/>
      <c r="C23" s="16"/>
      <c r="D23" s="17"/>
      <c r="E23" s="15"/>
      <c r="F23" s="16"/>
      <c r="G23" s="17"/>
      <c r="H23" s="15"/>
      <c r="I23" s="16"/>
      <c r="J23" s="17"/>
      <c r="K23" s="15"/>
      <c r="L23" s="16"/>
      <c r="M23" s="17"/>
      <c r="N23" s="15"/>
      <c r="O23" s="16"/>
      <c r="P23" s="17"/>
    </row>
    <row r="24">
      <c r="A24" s="18" t="s">
        <v>27</v>
      </c>
      <c r="B24" s="60"/>
      <c r="C24" s="52"/>
      <c r="D24" s="61"/>
      <c r="E24" s="60"/>
      <c r="F24" s="52"/>
      <c r="G24" s="61"/>
      <c r="H24" s="60"/>
      <c r="I24" s="52"/>
      <c r="J24" s="61"/>
      <c r="K24" s="60"/>
      <c r="L24" s="52"/>
      <c r="M24" s="61"/>
      <c r="N24" s="60"/>
      <c r="O24" s="52"/>
      <c r="P24" s="61"/>
    </row>
    <row r="25">
      <c r="A25" s="18" t="s">
        <v>28</v>
      </c>
      <c r="B25" s="60"/>
      <c r="C25" s="52"/>
      <c r="D25" s="61"/>
      <c r="E25" s="60"/>
      <c r="F25" s="52"/>
      <c r="G25" s="61"/>
      <c r="H25" s="60"/>
      <c r="I25" s="52"/>
      <c r="J25" s="61"/>
      <c r="K25" s="60"/>
      <c r="L25" s="52"/>
      <c r="M25" s="61"/>
      <c r="N25" s="60"/>
      <c r="O25" s="52"/>
      <c r="P25" s="61"/>
    </row>
    <row r="26">
      <c r="A26" s="18" t="s">
        <v>29</v>
      </c>
      <c r="B26" s="60"/>
      <c r="C26" s="52"/>
      <c r="D26" s="61"/>
      <c r="E26" s="60"/>
      <c r="F26" s="52"/>
      <c r="G26" s="61"/>
      <c r="H26" s="60"/>
      <c r="I26" s="52"/>
      <c r="J26" s="61"/>
      <c r="K26" s="60"/>
      <c r="L26" s="52"/>
      <c r="M26" s="61"/>
      <c r="N26" s="60"/>
      <c r="O26" s="52"/>
      <c r="P26" s="61"/>
    </row>
    <row r="27">
      <c r="A27" s="18" t="s">
        <v>30</v>
      </c>
      <c r="B27" s="60"/>
      <c r="C27" s="52"/>
      <c r="D27" s="61"/>
      <c r="E27" s="60"/>
      <c r="F27" s="52"/>
      <c r="G27" s="61"/>
      <c r="H27" s="60"/>
      <c r="I27" s="52"/>
      <c r="J27" s="61"/>
      <c r="K27" s="60"/>
      <c r="L27" s="52"/>
      <c r="M27" s="61"/>
      <c r="N27" s="60"/>
      <c r="O27" s="52"/>
      <c r="P27" s="61"/>
    </row>
    <row r="28">
      <c r="A28" s="52"/>
      <c r="B28" s="60"/>
      <c r="C28" s="52"/>
      <c r="D28" s="61"/>
      <c r="E28" s="60"/>
      <c r="F28" s="52"/>
      <c r="G28" s="61"/>
      <c r="H28" s="60"/>
      <c r="I28" s="52"/>
      <c r="J28" s="61"/>
      <c r="K28" s="60"/>
      <c r="L28" s="52"/>
      <c r="M28" s="61"/>
      <c r="N28" s="60"/>
      <c r="O28" s="52"/>
      <c r="P28" s="61"/>
    </row>
    <row r="29">
      <c r="A29" s="53" t="s">
        <v>31</v>
      </c>
      <c r="B29" s="15"/>
      <c r="C29" s="16"/>
      <c r="D29" s="17"/>
      <c r="E29" s="15"/>
      <c r="F29" s="16"/>
      <c r="G29" s="17"/>
      <c r="H29" s="15"/>
      <c r="I29" s="16"/>
      <c r="J29" s="17"/>
      <c r="K29" s="15"/>
      <c r="L29" s="16"/>
      <c r="M29" s="17"/>
      <c r="N29" s="15"/>
      <c r="O29" s="16"/>
      <c r="P29" s="17"/>
    </row>
    <row r="30">
      <c r="A30" s="18" t="s">
        <v>32</v>
      </c>
      <c r="B30" s="60"/>
      <c r="C30" s="52"/>
      <c r="D30" s="61"/>
      <c r="E30" s="60"/>
      <c r="F30" s="52"/>
      <c r="G30" s="61"/>
      <c r="H30" s="60"/>
      <c r="I30" s="52"/>
      <c r="J30" s="61"/>
      <c r="K30" s="60"/>
      <c r="L30" s="52"/>
      <c r="M30" s="61"/>
      <c r="N30" s="60"/>
      <c r="O30" s="52"/>
      <c r="P30" s="61"/>
    </row>
    <row r="31">
      <c r="A31" s="18" t="s">
        <v>33</v>
      </c>
      <c r="B31" s="60"/>
      <c r="C31" s="52"/>
      <c r="D31" s="61"/>
      <c r="E31" s="60"/>
      <c r="F31" s="52"/>
      <c r="G31" s="61"/>
      <c r="H31" s="60"/>
      <c r="I31" s="52"/>
      <c r="J31" s="61"/>
      <c r="K31" s="60"/>
      <c r="L31" s="52"/>
      <c r="M31" s="61"/>
      <c r="N31" s="60"/>
      <c r="O31" s="52"/>
      <c r="P31" s="61"/>
    </row>
    <row r="32">
      <c r="A32" s="18" t="s">
        <v>34</v>
      </c>
      <c r="B32" s="62"/>
      <c r="C32" s="63"/>
      <c r="D32" s="64"/>
      <c r="E32" s="62"/>
      <c r="F32" s="63"/>
      <c r="G32" s="64"/>
      <c r="H32" s="62"/>
      <c r="I32" s="63"/>
      <c r="J32" s="64"/>
      <c r="K32" s="62"/>
      <c r="L32" s="63"/>
      <c r="M32" s="64"/>
      <c r="N32" s="62"/>
      <c r="O32" s="63"/>
      <c r="P32" s="64"/>
    </row>
  </sheetData>
  <mergeCells count="5">
    <mergeCell ref="B1:D1"/>
    <mergeCell ref="E1:G1"/>
    <mergeCell ref="H1:J1"/>
    <mergeCell ref="K1:M1"/>
    <mergeCell ref="N1:P1"/>
  </mergeCells>
  <drawing r:id="rId1"/>
</worksheet>
</file>